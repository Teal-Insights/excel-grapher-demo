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Software\excel-grapher-demo\tests\"/>
    </mc:Choice>
  </mc:AlternateContent>
  <xr:revisionPtr revIDLastSave="0" documentId="13_ncr:1_{526C80EA-B449-4687-A5E7-2BB9DAB44A89}" xr6:coauthVersionLast="47" xr6:coauthVersionMax="47" xr10:uidLastSave="{00000000-0000-0000-0000-000000000000}"/>
  <bookViews>
    <workbookView xWindow="0" yWindow="0" windowWidth="21375" windowHeight="12780" xr2:uid="{B3C25015-30F2-4DC2-A846-CF3869F38D9F}"/>
  </bookViews>
  <sheets>
    <sheet name="Sheet1" sheetId="1" r:id="rId1"/>
  </sheets>
  <externalReferences>
    <externalReference r:id="rId2"/>
  </externalReferences>
  <definedNames>
    <definedName name="ProjectionYear">'[1]Macro-Debt_Data'!$U$4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N3" i="1" l="1"/>
  <c r="M3" i="1" s="1"/>
  <c r="L3" i="1" s="1"/>
  <c r="K3" i="1" s="1"/>
  <c r="J3" i="1" s="1"/>
  <c r="I3" i="1" s="1"/>
  <c r="H3" i="1" s="1"/>
  <c r="G3" i="1" s="1"/>
  <c r="F3" i="1" s="1"/>
  <c r="E3" i="1" s="1"/>
  <c r="D3" i="1" s="1"/>
  <c r="C3" i="1" s="1"/>
  <c r="B3" i="1" s="1"/>
</calcChain>
</file>

<file path=xl/sharedStrings.xml><?xml version="1.0" encoding="utf-8"?>
<sst xmlns="http://schemas.openxmlformats.org/spreadsheetml/2006/main" count="82" uniqueCount="16">
  <si>
    <t>Unshocked</t>
  </si>
  <si>
    <t>Baseline</t>
  </si>
  <si>
    <t>Historical scenario</t>
  </si>
  <si>
    <t>MX shock Standard&amp;Tailored</t>
  </si>
  <si>
    <t>PV of Debt-to-GDP ratio</t>
  </si>
  <si>
    <t>Shocked Starting Year 2</t>
  </si>
  <si>
    <t>Shocked Starting Year 5</t>
  </si>
  <si>
    <t>Figures derived by manually applying a 5% GDP growth rate shock to row 12 on  Input 3, then copy-pasting values from Chart Data rows 61-63 (Panel 1 of Figure 1)</t>
  </si>
  <si>
    <t>Figures derived by manually applying a 5% GDP growth rate shock to row 12 on  Input 3, then copy-pasting values from Chart Data rows 103-105 (Panel 2 of Figure 1)</t>
  </si>
  <si>
    <t>Debt service-to-exports ratio</t>
  </si>
  <si>
    <t>Figures derived by manually applying a 5% GDP growth rate shock to row 12 on  Input 3, then copy-pasting values from Chart Data rows 145-147 (Panel 3 of Figure 1)</t>
  </si>
  <si>
    <t>Debt service-to-revenue ratio</t>
  </si>
  <si>
    <t>Figures derived by manually applying a 5% GDP growth rate shock to row 12 on  Input 3, then copy-pasting values from Chart Data rows 187-189 (Panel 3 of Figure 1)</t>
  </si>
  <si>
    <t>PV of Debt-to-exports ratio</t>
  </si>
  <si>
    <t>Shocked GDP Series</t>
  </si>
  <si>
    <t>Default GDP Series (Input 3, row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</si>
</sst>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6" formatCode="[$-409]mmmm\-yy;@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theme="1"/>
      <name val="Aptos Narrow"/>
      <family val="2"/>
      <scheme val="minor"/>
    </font>
    <font>
      <sz val="10"/>
      <name val="Times New Roman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b/>
      <sz val="10"/>
      <color rgb="FFFF0000"/>
      <name val="Segoe U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86" fontId="4" fillId="0" borderId="0"/>
    <xf numFmtId="0" fontId="4" fillId="0" borderId="0"/>
    <xf numFmtId="9" fontId="4" fillId="0" borderId="0" applyFont="0" applyFill="0" applyBorder="0" applyAlignment="0" applyProtection="0"/>
    <xf numFmtId="186" fontId="3" fillId="0" borderId="0"/>
    <xf numFmtId="186" fontId="3" fillId="0" borderId="0"/>
    <xf numFmtId="0" fontId="4" fillId="0" borderId="0"/>
    <xf numFmtId="0" fontId="10" fillId="0" borderId="0"/>
    <xf numFmtId="0" fontId="4" fillId="0" borderId="0"/>
    <xf numFmtId="9" fontId="10" fillId="0" borderId="0" applyFon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86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3" fillId="0" borderId="0"/>
    <xf numFmtId="0" fontId="5" fillId="0" borderId="0"/>
    <xf numFmtId="0" fontId="5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9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68">
    <cellStyle name="Comma 2" xfId="3" xr:uid="{BC796E4A-4E2A-4295-BE3B-2D2570E3AC7A}"/>
    <cellStyle name="Hyperlink 2" xfId="27" xr:uid="{E761BBE6-3AC9-4F16-8B1C-F8CE52825964}"/>
    <cellStyle name="Normal" xfId="0" builtinId="0"/>
    <cellStyle name="Normal - Modelo1 3" xfId="65" xr:uid="{70480DDB-5A34-4B3D-A227-0191A656B52C}"/>
    <cellStyle name="Normal 10" xfId="32" xr:uid="{B40B9C5D-6234-4241-AFF3-F709E170BAB6}"/>
    <cellStyle name="Normal 10 2" xfId="55" xr:uid="{68515724-2B7E-4607-968C-A62A874E2268}"/>
    <cellStyle name="Normal 10 4" xfId="1" xr:uid="{3B053869-CD3C-4C5B-BFE7-ABF8BBD6E421}"/>
    <cellStyle name="Normal 11" xfId="8" xr:uid="{8F9874F1-9FCC-45B8-98F8-19562A67EA8F}"/>
    <cellStyle name="Normal 114 2" xfId="20" xr:uid="{1FE4EF01-665E-4E17-AC7A-983EB4B6E8FD}"/>
    <cellStyle name="Normal 12" xfId="33" xr:uid="{4AD5D57D-F475-491B-989F-6DA084DC98E0}"/>
    <cellStyle name="Normal 12 2" xfId="56" xr:uid="{88C7AF73-5CD9-47FA-A497-D38433B31FC4}"/>
    <cellStyle name="Normal 13" xfId="34" xr:uid="{EADB4DF5-31D3-41CA-B335-3910C0032885}"/>
    <cellStyle name="Normal 13 2" xfId="57" xr:uid="{23C39666-62C9-41BF-8D46-1BC25905F230}"/>
    <cellStyle name="Normal 14" xfId="35" xr:uid="{318FF6BA-9286-49E8-945E-8B3AA36E33F9}"/>
    <cellStyle name="Normal 14 2" xfId="58" xr:uid="{2C6DD033-312B-456B-9E85-92745785F7D2}"/>
    <cellStyle name="Normal 15" xfId="37" xr:uid="{B10D4186-F7CB-4F38-B6EC-E32E06DA1C40}"/>
    <cellStyle name="Normal 16" xfId="59" xr:uid="{30481DBE-FF80-44E2-8C9E-97112F7CD8E5}"/>
    <cellStyle name="Normal 17" xfId="60" xr:uid="{733825D8-CCBA-4A26-A18A-78FAD626D5F6}"/>
    <cellStyle name="Normal 18" xfId="61" xr:uid="{8BD4E54E-582E-47E5-B69F-EA3B40F9B43B}"/>
    <cellStyle name="Normal 19" xfId="62" xr:uid="{03097DEE-E839-447E-B4E3-9E76D1F16F28}"/>
    <cellStyle name="Normal 2" xfId="5" xr:uid="{6EA79343-AA1E-43D4-890D-A13056CBD6B2}"/>
    <cellStyle name="Normal 2 2" xfId="24" xr:uid="{2F79C067-109D-49EC-959C-3235E4F13D51}"/>
    <cellStyle name="Normal 2 2 2" xfId="49" xr:uid="{D5AF4FA5-D69A-4929-ABDF-5F61AC717688}"/>
    <cellStyle name="Normal 2 4 3" xfId="21" xr:uid="{486917BC-8CF4-4B55-8CA7-3278C961EE74}"/>
    <cellStyle name="Normal 20" xfId="63" xr:uid="{720D0431-3687-455D-928E-860A1EC4F761}"/>
    <cellStyle name="Normal 21" xfId="64" xr:uid="{8CA27586-597D-4468-A5E9-C210C07EDF82}"/>
    <cellStyle name="Normal 22" xfId="2" xr:uid="{A0AF0E19-E99F-48E0-B90D-0035814A8646}"/>
    <cellStyle name="Normal 23" xfId="10" xr:uid="{7F3EB0A6-8130-415D-8870-A9F07DF0F8B0}"/>
    <cellStyle name="Normal 24" xfId="67" xr:uid="{C5EED0D9-B177-4448-849D-88CF279FAA84}"/>
    <cellStyle name="Normal 25" xfId="66" xr:uid="{C4931143-D818-441C-A46F-551F2A9A7FE6}"/>
    <cellStyle name="Normal 3" xfId="22" xr:uid="{9EE17F1C-B979-4AD4-AEB7-0BCAADC24995}"/>
    <cellStyle name="Normal 3 10" xfId="9" xr:uid="{56B5BBA3-2B94-4357-8A03-6A10001A8429}"/>
    <cellStyle name="Normal 3 2" xfId="48" xr:uid="{E456AE94-80E9-4FE2-AB8D-512677F56578}"/>
    <cellStyle name="Normal 3 2 10" xfId="17" xr:uid="{64FAC2B6-9034-4EFF-A66D-54D01A46571F}"/>
    <cellStyle name="Normal 3 2 10 2" xfId="45" xr:uid="{BE837785-035B-4CE4-AEAC-41E396A366A5}"/>
    <cellStyle name="Normal 346" xfId="7" xr:uid="{1238598C-E27E-459B-8880-3B2242E6EB89}"/>
    <cellStyle name="Normal 346 2" xfId="38" xr:uid="{7135565C-0753-4E8B-A202-A17ABA812956}"/>
    <cellStyle name="Normal 347" xfId="11" xr:uid="{E431D033-2125-40DB-88C1-87DEDD111837}"/>
    <cellStyle name="Normal 347 2" xfId="39" xr:uid="{705193BB-0A3A-49B2-98F3-F9D8FA7DBE1C}"/>
    <cellStyle name="Normal 348" xfId="12" xr:uid="{AD7FA3C3-CA83-4962-AC3C-7AD043759E4E}"/>
    <cellStyle name="Normal 348 2" xfId="40" xr:uid="{451B8509-40B3-4CDA-A0B9-3DED1F32F44F}"/>
    <cellStyle name="Normal 349" xfId="13" xr:uid="{413F7B16-D305-4388-945B-D0404144F176}"/>
    <cellStyle name="Normal 349 2" xfId="41" xr:uid="{B17F1678-028D-42B8-BE23-EC874ACD3C19}"/>
    <cellStyle name="Normal 351" xfId="15" xr:uid="{33AF98E3-CF6E-4CEE-9E78-34DCEA11AD85}"/>
    <cellStyle name="Normal 351 2" xfId="43" xr:uid="{FF1CBFE3-12B7-4258-A458-68192DECFB02}"/>
    <cellStyle name="Normal 354" xfId="18" xr:uid="{7F939974-C791-4D48-9A6F-0B411B9FE816}"/>
    <cellStyle name="Normal 354 2" xfId="46" xr:uid="{33ED33AE-A506-4590-9B97-305EF6748647}"/>
    <cellStyle name="Normal 354 3" xfId="36" xr:uid="{1C6CADB2-CD9E-4E0F-A4BF-B3E497E8B8A8}"/>
    <cellStyle name="Normal 4" xfId="6" xr:uid="{01C66DAF-A604-42B6-B183-B8C32CBFD9E7}"/>
    <cellStyle name="Normal 4 2" xfId="26" xr:uid="{A0231E32-A906-4E39-8983-D3B40347BE1F}"/>
    <cellStyle name="Normal 4 2 2" xfId="50" xr:uid="{275FD076-BE74-4219-82FD-86C75ADB19B0}"/>
    <cellStyle name="Normal 5" xfId="23" xr:uid="{A25DD782-AE71-419B-B4DE-B19425A40412}"/>
    <cellStyle name="Normal 6" xfId="28" xr:uid="{0C6F472C-51E7-45DF-95BD-BDCC662BBBEB}"/>
    <cellStyle name="Normal 6 2" xfId="51" xr:uid="{99065B40-ACC6-4384-A9DC-5F6306F4CEC1}"/>
    <cellStyle name="Normal 7" xfId="29" xr:uid="{F20E2633-48E2-434E-998E-2754625CA763}"/>
    <cellStyle name="Normal 7 2" xfId="52" xr:uid="{FDC0DAB6-001F-46B0-958A-5C35D753BBE9}"/>
    <cellStyle name="Normal 8" xfId="30" xr:uid="{85B2C590-7F8D-4041-9E48-1C7561E8D455}"/>
    <cellStyle name="Normal 8 2" xfId="53" xr:uid="{D257EEE4-22DA-4ACD-9088-8F551704A3B2}"/>
    <cellStyle name="Normal 9" xfId="31" xr:uid="{74C5780C-CC86-4D84-8C6D-311BD8B1BBF9}"/>
    <cellStyle name="Normal 9 2" xfId="54" xr:uid="{6ACDD27B-6CD3-4AE5-ACBF-8145C46D0B85}"/>
    <cellStyle name="Percent 10" xfId="16" xr:uid="{F156E6F1-955D-49C8-891C-ECC6B58A4B46}"/>
    <cellStyle name="Percent 10 2" xfId="44" xr:uid="{81028E97-2566-4DF2-B66D-0343204C2E4A}"/>
    <cellStyle name="Percent 12" xfId="19" xr:uid="{794691D5-4D60-4AB6-A9DA-EFBDD3EDF841}"/>
    <cellStyle name="Percent 12 2" xfId="47" xr:uid="{4A3CA7CC-C6DE-4FB7-87D4-AD2312E929F2}"/>
    <cellStyle name="Percent 2" xfId="25" xr:uid="{C9176956-64AB-475E-B15E-0C12E4654D0B}"/>
    <cellStyle name="Percent 3" xfId="4" xr:uid="{1D7D847D-6C4A-4C38-AF19-104CD91ED334}"/>
    <cellStyle name="Percent 9" xfId="14" xr:uid="{41D08D28-6624-41B6-9D30-4C0AB95D5247}"/>
    <cellStyle name="Percent 9 2" xfId="42" xr:uid="{1C4D1D69-C50A-4405-A5DD-0D1732F0E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LIC-DSF-IDA21-Template-08-12-2025-vf%20(1).xlsm" TargetMode="External"/><Relationship Id="rId2" Type="http://schemas.openxmlformats.org/officeDocument/2006/relationships/externalLinkPath" Target="file:///C:\Users\chris\Downloads\LIC-DSF-IDA21-Template-08-12-2025-vf%20(1).xlsm" TargetMode="External"/><Relationship Id="rId1" Type="http://schemas.openxmlformats.org/officeDocument/2006/relationships/externalLinkPath" Target="/Users/chris/Downloads/LIC-DSF-IDA21-Template-08-12-2025-vf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RT"/>
      <sheetName val="Import Variables"/>
      <sheetName val="LIST_DSA"/>
      <sheetName val="Country_Information"/>
      <sheetName val="Data"/>
      <sheetName val="COM"/>
      <sheetName val="data all"/>
      <sheetName val="CPIA"/>
      <sheetName val="data_REM_FINAL"/>
      <sheetName val="Classification"/>
      <sheetName val="data_GDPUSD"/>
      <sheetName val="translation"/>
      <sheetName val="Input-INSTRUCTIONS"/>
      <sheetName val="Input 1 - Basics"/>
      <sheetName val="Input 2 - Debt Coverage"/>
      <sheetName val="Input 3 - Macro-Debt data(DMX)"/>
      <sheetName val="Input 4 - External Financing"/>
      <sheetName val="BLEND floating calculations WB"/>
      <sheetName val="Input 5 - Local-debt Financing"/>
      <sheetName val="Input 6(optional)-Standard Test"/>
      <sheetName val="Input 6 - Tailored Tests"/>
      <sheetName val="Input 7 - Residual Financing"/>
      <sheetName val="Input 8 - SDR"/>
      <sheetName val="Customized Scenario - public"/>
      <sheetName val="Customized Scenario-External"/>
      <sheetName val="CI Summary"/>
      <sheetName val="Dom_Debt_Indicators"/>
      <sheetName val="Imported data"/>
      <sheetName val="Probability approach"/>
      <sheetName val="Realism 1 - Forecast Error"/>
      <sheetName val="Realism 2 - Fiscal multiplier"/>
      <sheetName val="Realism 3 - Invest-Growth"/>
      <sheetName val="Realism 4 - Fiscal adjustment"/>
      <sheetName val="Macro-Debt_Data"/>
      <sheetName val="Ext_Debt_Data"/>
      <sheetName val="Dom_Debt_Data"/>
      <sheetName val="PV_Base"/>
      <sheetName val="Chart Data"/>
      <sheetName val="PV_LC_NR1"/>
      <sheetName val="PV_LC_NR2"/>
      <sheetName val="PV_LC_NR3"/>
      <sheetName val="Output 1-1 - External DSA"/>
      <sheetName val="Output 1-2 - Public DSA"/>
      <sheetName val="Output 2-1 Stress_Charts_Ex"/>
      <sheetName val="Output 2-2 Stress_Charts_Pub"/>
      <sheetName val="Output 3-1 Stress-external"/>
      <sheetName val="Output 3-2 Stress-public"/>
      <sheetName val="Output 4-1 - Forecast Error"/>
      <sheetName val="Output 4-2 - Realism"/>
      <sheetName val="Output 5-1 Moderate risk"/>
      <sheetName val="Output 5-2 Market module"/>
      <sheetName val="Output 6 - Prob (if applicable)"/>
      <sheetName val="Output 7 - Risk rating summary"/>
      <sheetName val="Baseline - public"/>
      <sheetName val="A1_Historical_pub"/>
      <sheetName val="B1_GDP_pub"/>
      <sheetName val="B2_PB_mkt_pub"/>
      <sheetName val="B2_PB_non_mkt_pub"/>
      <sheetName val="B5_depreciation_pub"/>
      <sheetName val="B6_combo_mkt_pub"/>
      <sheetName val="B6_combo_non-mkt_pub"/>
      <sheetName val="PV_ResFin_pub"/>
      <sheetName val="PV_ResFin-add.int.cost - mkt"/>
      <sheetName val="Baseline - external"/>
      <sheetName val="A1_historical_ext"/>
      <sheetName val="B1_GDP_ext"/>
      <sheetName val="B3_Exports_ext"/>
      <sheetName val="B4_other flows_ext"/>
      <sheetName val="B5_depreciation_ext"/>
      <sheetName val="B6_Combo_mkt_ext"/>
      <sheetName val="B6_Combo_non-mkt_ext"/>
      <sheetName val="PV Stress"/>
      <sheetName val="PV_Base-add.cost.mkt"/>
      <sheetName val="Trigger"/>
      <sheetName val="C1_Combined CL"/>
      <sheetName val="C2_Natural disaster"/>
      <sheetName val="C3_Commodity prices_ext"/>
      <sheetName val="C3_commodity_prices_pub"/>
      <sheetName val="C4_Market_financing"/>
      <sheetName val="PV_baseline_com"/>
      <sheetName val="PV_stress_com"/>
      <sheetName val="DMX_OUT"/>
      <sheetName val="lookup"/>
      <sheetName val="Output Database"/>
      <sheetName val="Output - Summary"/>
      <sheetName val="Output - Subm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4">
          <cell r="U4">
            <v>2024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BA56-F422-42FC-912F-802B5864DCC9}">
  <dimension ref="A1:AI75"/>
  <sheetViews>
    <sheetView tabSelected="1" workbookViewId="0">
      <selection activeCell="A4" sqref="A4"/>
    </sheetView>
  </sheetViews>
  <sheetFormatPr defaultRowHeight="15" x14ac:dyDescent="0.25"/>
  <cols>
    <col min="1" max="1" width="12.7109375" customWidth="1"/>
  </cols>
  <sheetData>
    <row r="1" spans="1:35" x14ac:dyDescent="0.25">
      <c r="A1" s="1" t="s">
        <v>7</v>
      </c>
    </row>
    <row r="2" spans="1:35" x14ac:dyDescent="0.25">
      <c r="A2" s="1"/>
    </row>
    <row r="3" spans="1:35" x14ac:dyDescent="0.25">
      <c r="A3" s="1"/>
      <c r="B3" s="6">
        <f t="shared" ref="B3:N3" si="0">C3-1</f>
        <v>2011</v>
      </c>
      <c r="C3" s="6">
        <f t="shared" si="0"/>
        <v>2012</v>
      </c>
      <c r="D3" s="6">
        <f t="shared" si="0"/>
        <v>2013</v>
      </c>
      <c r="E3" s="6">
        <f t="shared" si="0"/>
        <v>2014</v>
      </c>
      <c r="F3" s="6">
        <f t="shared" si="0"/>
        <v>2015</v>
      </c>
      <c r="G3" s="6">
        <f t="shared" si="0"/>
        <v>2016</v>
      </c>
      <c r="H3" s="6">
        <f t="shared" si="0"/>
        <v>2017</v>
      </c>
      <c r="I3" s="6">
        <f t="shared" si="0"/>
        <v>2018</v>
      </c>
      <c r="J3" s="6">
        <f t="shared" si="0"/>
        <v>2019</v>
      </c>
      <c r="K3" s="6">
        <f t="shared" si="0"/>
        <v>2020</v>
      </c>
      <c r="L3" s="6">
        <f t="shared" si="0"/>
        <v>2021</v>
      </c>
      <c r="M3" s="6">
        <f t="shared" si="0"/>
        <v>2022</v>
      </c>
      <c r="N3" s="6">
        <f t="shared" si="0"/>
        <v>2023</v>
      </c>
      <c r="O3" s="5">
        <f>ProjectionYear</f>
        <v>2024</v>
      </c>
      <c r="P3" s="6">
        <f t="shared" ref="P3:AI3" si="1">O3+1</f>
        <v>2025</v>
      </c>
      <c r="Q3" s="6">
        <f t="shared" si="1"/>
        <v>2026</v>
      </c>
      <c r="R3" s="6">
        <f t="shared" si="1"/>
        <v>2027</v>
      </c>
      <c r="S3" s="6">
        <f t="shared" si="1"/>
        <v>2028</v>
      </c>
      <c r="T3" s="6">
        <f t="shared" si="1"/>
        <v>2029</v>
      </c>
      <c r="U3" s="6">
        <f t="shared" si="1"/>
        <v>2030</v>
      </c>
      <c r="V3" s="6">
        <f t="shared" si="1"/>
        <v>2031</v>
      </c>
      <c r="W3" s="6">
        <f t="shared" si="1"/>
        <v>2032</v>
      </c>
      <c r="X3" s="6">
        <f t="shared" si="1"/>
        <v>2033</v>
      </c>
      <c r="Y3" s="6">
        <f t="shared" si="1"/>
        <v>2034</v>
      </c>
      <c r="Z3" s="6">
        <f t="shared" si="1"/>
        <v>2035</v>
      </c>
      <c r="AA3" s="6">
        <f t="shared" si="1"/>
        <v>2036</v>
      </c>
      <c r="AB3" s="6">
        <f t="shared" si="1"/>
        <v>2037</v>
      </c>
      <c r="AC3" s="6">
        <f t="shared" si="1"/>
        <v>2038</v>
      </c>
      <c r="AD3" s="6">
        <f t="shared" si="1"/>
        <v>2039</v>
      </c>
      <c r="AE3" s="6">
        <f t="shared" si="1"/>
        <v>2040</v>
      </c>
      <c r="AF3" s="6">
        <f t="shared" si="1"/>
        <v>2041</v>
      </c>
      <c r="AG3" s="6">
        <f t="shared" si="1"/>
        <v>2042</v>
      </c>
      <c r="AH3" s="6">
        <f t="shared" si="1"/>
        <v>2043</v>
      </c>
      <c r="AI3" s="6">
        <f t="shared" si="1"/>
        <v>2044</v>
      </c>
    </row>
    <row r="4" spans="1:35" x14ac:dyDescent="0.25">
      <c r="A4" s="1" t="s">
        <v>15</v>
      </c>
      <c r="B4" s="4">
        <v>14450.5977985193</v>
      </c>
      <c r="C4" s="4">
        <v>17460.9989915484</v>
      </c>
      <c r="D4" s="4">
        <v>20400.9429453339</v>
      </c>
      <c r="E4" s="4">
        <v>24757.5530544678</v>
      </c>
      <c r="F4" s="4">
        <v>28528.014586360001</v>
      </c>
      <c r="G4" s="4">
        <v>25589.562458234599</v>
      </c>
      <c r="H4" s="4">
        <v>32174.2108297251</v>
      </c>
      <c r="I4" s="4">
        <v>39564.983872474295</v>
      </c>
      <c r="J4" s="4">
        <v>41939.3397240185</v>
      </c>
      <c r="K4" s="4">
        <v>47806.292728194298</v>
      </c>
      <c r="L4" s="4">
        <v>38774.100589752605</v>
      </c>
      <c r="M4" s="4">
        <v>36892.586239755503</v>
      </c>
      <c r="N4" s="4">
        <v>42777.871848343901</v>
      </c>
      <c r="O4" s="4">
        <v>45464.086073205704</v>
      </c>
      <c r="P4" s="4">
        <v>49226.313751753405</v>
      </c>
      <c r="Q4" s="4">
        <v>52863.269804134099</v>
      </c>
      <c r="R4" s="4">
        <v>56415.209666761199</v>
      </c>
      <c r="S4" s="4">
        <v>60448.752194078399</v>
      </c>
      <c r="T4" s="4">
        <v>65126.708119121904</v>
      </c>
      <c r="U4" s="4">
        <v>70162.382047382795</v>
      </c>
      <c r="V4" s="4">
        <v>75256.297224897091</v>
      </c>
      <c r="W4" s="4">
        <v>80534.234262341008</v>
      </c>
      <c r="X4" s="4">
        <v>86156.090139593798</v>
      </c>
      <c r="Y4" s="4">
        <v>92097.963503505205</v>
      </c>
      <c r="Z4" s="4">
        <v>98436.301756162997</v>
      </c>
      <c r="AA4" s="4">
        <v>105250.818711609</v>
      </c>
      <c r="AB4" s="4">
        <v>112543.336660972</v>
      </c>
      <c r="AC4" s="4">
        <v>120402.58032738499</v>
      </c>
      <c r="AD4" s="4">
        <v>128803.299738773</v>
      </c>
      <c r="AE4" s="4">
        <v>137770.805397494</v>
      </c>
      <c r="AF4" s="4">
        <v>147422.427493269</v>
      </c>
      <c r="AG4" s="4">
        <v>157736.34939089199</v>
      </c>
      <c r="AH4" s="4">
        <v>168339.123209307</v>
      </c>
      <c r="AI4" s="4">
        <v>179965.47711998099</v>
      </c>
    </row>
    <row r="5" spans="1:35" x14ac:dyDescent="0.25">
      <c r="A5" s="1" t="s">
        <v>14</v>
      </c>
      <c r="B5" s="4">
        <v>14450.5977985193</v>
      </c>
      <c r="C5" s="4">
        <v>17460.9989915484</v>
      </c>
      <c r="D5" s="4">
        <v>20400.9429453339</v>
      </c>
      <c r="E5" s="4">
        <v>24757.5530544678</v>
      </c>
      <c r="F5" s="4">
        <v>28528.014586360001</v>
      </c>
      <c r="G5" s="4">
        <v>25589.562458234599</v>
      </c>
      <c r="H5" s="4">
        <v>32174.2108297251</v>
      </c>
      <c r="I5" s="4">
        <v>39564.983872474295</v>
      </c>
      <c r="J5" s="4">
        <v>41939.3397240185</v>
      </c>
      <c r="K5" s="4">
        <v>47806.292728194298</v>
      </c>
      <c r="L5" s="4">
        <v>38774.100589752605</v>
      </c>
      <c r="M5" s="4">
        <v>36892.586239755503</v>
      </c>
      <c r="N5" s="4">
        <v>42777.871848343901</v>
      </c>
      <c r="O5" s="4">
        <v>45464.086073205704</v>
      </c>
      <c r="P5" s="3">
        <v>51499.51805541369</v>
      </c>
      <c r="Q5" s="3">
        <v>57879.399700891023</v>
      </c>
      <c r="R5" s="3">
        <v>64662.348702637348</v>
      </c>
      <c r="S5" s="3">
        <v>72518.657914400537</v>
      </c>
      <c r="T5" s="3">
        <v>81756.602194205116</v>
      </c>
      <c r="U5" s="3">
        <v>92165.949267117699</v>
      </c>
      <c r="V5" s="3">
        <v>103465.66047843793</v>
      </c>
      <c r="W5" s="3">
        <v>115895.28299393508</v>
      </c>
      <c r="X5" s="3">
        <v>129780.35288519897</v>
      </c>
      <c r="Y5" s="3">
        <v>145219.85122929284</v>
      </c>
      <c r="Z5" s="3">
        <v>162475.1205703615</v>
      </c>
      <c r="AA5" s="3">
        <v>181846.65251296753</v>
      </c>
      <c r="AB5" s="3">
        <v>203538.60187999261</v>
      </c>
      <c r="AC5" s="3">
        <v>227929.25190762756</v>
      </c>
      <c r="AD5" s="3">
        <v>255228.77642840231</v>
      </c>
      <c r="AE5" s="3">
        <v>285759.67846646358</v>
      </c>
      <c r="AF5" s="3">
        <v>320066.73986277549</v>
      </c>
      <c r="AG5" s="3">
        <v>358462.48629525962</v>
      </c>
      <c r="AH5" s="3">
        <v>400480.8599247933</v>
      </c>
      <c r="AI5" s="3">
        <v>448164.14293113706</v>
      </c>
    </row>
    <row r="7" spans="1:35" x14ac:dyDescent="0.25">
      <c r="A7" s="1" t="s">
        <v>4</v>
      </c>
    </row>
    <row r="8" spans="1:35" x14ac:dyDescent="0.25">
      <c r="A8" s="2" t="s">
        <v>0</v>
      </c>
    </row>
    <row r="9" spans="1:35" x14ac:dyDescent="0.25">
      <c r="A9" t="s">
        <v>1</v>
      </c>
      <c r="B9" t="s">
        <v>1</v>
      </c>
      <c r="C9">
        <v>44.884623746813403</v>
      </c>
      <c r="D9">
        <v>43.151384667261354</v>
      </c>
      <c r="E9">
        <v>41.226496964495894</v>
      </c>
      <c r="F9">
        <v>40.194059559244764</v>
      </c>
      <c r="G9">
        <v>38.604308292448287</v>
      </c>
      <c r="H9">
        <v>37.695157849757152</v>
      </c>
      <c r="I9">
        <v>35.423451546230709</v>
      </c>
      <c r="J9">
        <v>32.989726806144404</v>
      </c>
      <c r="K9">
        <v>31.95584417770263</v>
      </c>
      <c r="L9">
        <v>31.415119480762378</v>
      </c>
      <c r="M9">
        <v>31.207778495869825</v>
      </c>
      <c r="N9">
        <v>31.194028817938246</v>
      </c>
      <c r="O9">
        <v>30.987071024671192</v>
      </c>
      <c r="P9">
        <v>30.663044336525953</v>
      </c>
      <c r="Q9">
        <v>30.406934845402617</v>
      </c>
      <c r="R9">
        <v>30.276260609215427</v>
      </c>
      <c r="S9">
        <v>29.731370245110572</v>
      </c>
      <c r="T9">
        <v>29.278735179333044</v>
      </c>
      <c r="U9">
        <v>28.571069907990392</v>
      </c>
      <c r="V9">
        <v>28.069112756342683</v>
      </c>
      <c r="W9">
        <v>27.576148902935632</v>
      </c>
    </row>
    <row r="10" spans="1:35" x14ac:dyDescent="0.25">
      <c r="A10" t="s">
        <v>2</v>
      </c>
      <c r="B10" t="s">
        <v>2</v>
      </c>
      <c r="C10">
        <v>44.884623746813403</v>
      </c>
      <c r="D10">
        <v>46.608349297580972</v>
      </c>
      <c r="E10">
        <v>47.200798057692936</v>
      </c>
      <c r="F10">
        <v>48.150803040270453</v>
      </c>
      <c r="G10">
        <v>48.384902488053683</v>
      </c>
      <c r="H10">
        <v>49.158698524736458</v>
      </c>
      <c r="I10">
        <v>48.802167484235724</v>
      </c>
      <c r="J10">
        <v>46.406595822012122</v>
      </c>
      <c r="K10">
        <v>44.407718007981416</v>
      </c>
      <c r="L10">
        <v>42.184345627869895</v>
      </c>
      <c r="M10">
        <v>39.568501848158363</v>
      </c>
      <c r="N10">
        <v>37.560936798105637</v>
      </c>
      <c r="O10">
        <v>35.658613793698599</v>
      </c>
      <c r="P10">
        <v>33.961516487248744</v>
      </c>
      <c r="Q10">
        <v>32.477216595531047</v>
      </c>
      <c r="R10">
        <v>31.285111783202936</v>
      </c>
      <c r="S10">
        <v>29.714374546218579</v>
      </c>
      <c r="T10">
        <v>28.294103180621129</v>
      </c>
      <c r="U10">
        <v>26.755513155333094</v>
      </c>
      <c r="V10">
        <v>25.359044220004328</v>
      </c>
      <c r="W10">
        <v>23.938580833304961</v>
      </c>
    </row>
    <row r="11" spans="1:35" x14ac:dyDescent="0.25">
      <c r="B11" t="s">
        <v>3</v>
      </c>
      <c r="C11">
        <v>44.884623746813403</v>
      </c>
      <c r="D11">
        <v>48.097118956263081</v>
      </c>
      <c r="E11">
        <v>55.774752381217198</v>
      </c>
      <c r="F11">
        <v>54.674559547029268</v>
      </c>
      <c r="G11">
        <v>52.984976292448508</v>
      </c>
      <c r="H11">
        <v>51.933976278459646</v>
      </c>
      <c r="I11">
        <v>48.82757169859277</v>
      </c>
      <c r="J11">
        <v>44.359953250048932</v>
      </c>
      <c r="K11">
        <v>41.363182703291137</v>
      </c>
      <c r="L11">
        <v>38.872077161728555</v>
      </c>
      <c r="M11">
        <v>36.71755976753667</v>
      </c>
      <c r="N11">
        <v>35.221747245176815</v>
      </c>
      <c r="O11">
        <v>34.418540832742991</v>
      </c>
      <c r="P11">
        <v>33.512326230075885</v>
      </c>
      <c r="Q11">
        <v>32.713459810595744</v>
      </c>
      <c r="R11">
        <v>32.102412725269723</v>
      </c>
      <c r="S11">
        <v>31.141857251532052</v>
      </c>
      <c r="T11">
        <v>30.35764196894808</v>
      </c>
      <c r="U11">
        <v>29.382179709226762</v>
      </c>
      <c r="V11">
        <v>28.675972214976003</v>
      </c>
      <c r="W11">
        <v>28.024327210436489</v>
      </c>
    </row>
    <row r="13" spans="1:35" x14ac:dyDescent="0.25">
      <c r="A13" s="2" t="s">
        <v>5</v>
      </c>
    </row>
    <row r="14" spans="1:35" x14ac:dyDescent="0.25">
      <c r="A14" t="s">
        <v>1</v>
      </c>
      <c r="B14" t="s">
        <v>1</v>
      </c>
      <c r="C14" s="4">
        <v>44.884623746813403</v>
      </c>
      <c r="D14" s="3">
        <v>41.246669496354869</v>
      </c>
      <c r="E14" s="3">
        <v>37.653594255918165</v>
      </c>
      <c r="F14" s="3">
        <v>35.067645127164937</v>
      </c>
      <c r="G14" s="3">
        <v>32.179060295745167</v>
      </c>
      <c r="H14" s="3">
        <v>30.027685555642726</v>
      </c>
      <c r="I14" s="3">
        <v>26.966507268539708</v>
      </c>
      <c r="J14" s="3">
        <v>23.995252863714576</v>
      </c>
      <c r="K14" s="3">
        <v>22.205730678380114</v>
      </c>
      <c r="L14" s="3">
        <v>20.855266652918402</v>
      </c>
      <c r="M14" s="3">
        <v>19.791872947176891</v>
      </c>
      <c r="N14" s="3">
        <v>18.899046345888067</v>
      </c>
      <c r="O14" s="3">
        <v>17.934971855414535</v>
      </c>
      <c r="P14" s="3">
        <v>16.954628212738886</v>
      </c>
      <c r="Q14" s="3">
        <v>16.06232365785532</v>
      </c>
      <c r="R14" s="3">
        <v>15.27916375570579</v>
      </c>
      <c r="S14" s="3">
        <v>14.334124556067094</v>
      </c>
      <c r="T14" s="3">
        <v>13.4857568015984</v>
      </c>
      <c r="U14" s="3">
        <v>12.572295394297639</v>
      </c>
      <c r="V14" s="3">
        <v>11.798640842793933</v>
      </c>
      <c r="W14" s="3">
        <v>11.073520433809019</v>
      </c>
    </row>
    <row r="15" spans="1:35" x14ac:dyDescent="0.25">
      <c r="A15" t="s">
        <v>2</v>
      </c>
      <c r="B15" t="s">
        <v>2</v>
      </c>
      <c r="C15" s="4">
        <v>44.884623746813403</v>
      </c>
      <c r="D15" s="3">
        <v>46.458328067441776</v>
      </c>
      <c r="E15" s="3">
        <v>46.831426276458465</v>
      </c>
      <c r="F15" s="3">
        <v>47.450331748876692</v>
      </c>
      <c r="G15" s="3">
        <v>47.409630738262507</v>
      </c>
      <c r="H15" s="3">
        <v>47.713996410432593</v>
      </c>
      <c r="I15" s="3">
        <v>47.005666155300375</v>
      </c>
      <c r="J15" s="3">
        <v>44.687502906594865</v>
      </c>
      <c r="K15" s="3">
        <v>42.57563545272096</v>
      </c>
      <c r="L15" s="3">
        <v>40.231999295095292</v>
      </c>
      <c r="M15" s="3">
        <v>37.600517491877781</v>
      </c>
      <c r="N15" s="3">
        <v>35.356846195609585</v>
      </c>
      <c r="O15" s="3">
        <v>33.184555912653565</v>
      </c>
      <c r="P15" s="3">
        <v>31.189443146473678</v>
      </c>
      <c r="Q15" s="3">
        <v>29.402340691872585</v>
      </c>
      <c r="R15" s="3">
        <v>27.853987103185517</v>
      </c>
      <c r="S15" s="3">
        <v>26.278734541191636</v>
      </c>
      <c r="T15" s="3">
        <v>24.911613033839998</v>
      </c>
      <c r="U15" s="3">
        <v>23.585262470988486</v>
      </c>
      <c r="V15" s="3">
        <v>22.403120270757501</v>
      </c>
      <c r="W15" s="3">
        <v>21.274413194488883</v>
      </c>
    </row>
    <row r="16" spans="1:35" x14ac:dyDescent="0.25">
      <c r="B16" t="s">
        <v>3</v>
      </c>
      <c r="C16" s="4">
        <v>44.884623746813403</v>
      </c>
      <c r="D16" s="3">
        <v>45.974097577938863</v>
      </c>
      <c r="E16" s="3">
        <v>50.905780479350284</v>
      </c>
      <c r="F16" s="3">
        <v>47.668278669228009</v>
      </c>
      <c r="G16" s="3">
        <v>44.13567488741392</v>
      </c>
      <c r="H16" s="3">
        <v>41.341603129443079</v>
      </c>
      <c r="I16" s="3">
        <v>37.14483181218386</v>
      </c>
      <c r="J16" s="3">
        <v>32.243125732758429</v>
      </c>
      <c r="K16" s="3">
        <v>28.722892108140098</v>
      </c>
      <c r="L16" s="3">
        <v>25.787795917984958</v>
      </c>
      <c r="M16" s="3">
        <v>23.270048862752738</v>
      </c>
      <c r="N16" s="3">
        <v>21.324495357587143</v>
      </c>
      <c r="O16" s="3">
        <v>19.907286725867792</v>
      </c>
      <c r="P16" s="3">
        <v>18.517272605124919</v>
      </c>
      <c r="Q16" s="3">
        <v>17.268779828508549</v>
      </c>
      <c r="R16" s="3">
        <v>16.189538533628564</v>
      </c>
      <c r="S16" s="3">
        <v>15.003763282135859</v>
      </c>
      <c r="T16" s="3">
        <v>13.973026792189943</v>
      </c>
      <c r="U16" s="3">
        <v>12.920268190314784</v>
      </c>
      <c r="V16" s="3">
        <v>12.045390726803584</v>
      </c>
      <c r="W16" s="3">
        <v>11.245706280479906</v>
      </c>
    </row>
    <row r="18" spans="1:23" x14ac:dyDescent="0.25">
      <c r="A18" s="2" t="s">
        <v>6</v>
      </c>
    </row>
    <row r="19" spans="1:23" x14ac:dyDescent="0.25">
      <c r="A19" t="s">
        <v>1</v>
      </c>
      <c r="B19" t="s">
        <v>1</v>
      </c>
      <c r="C19" s="4">
        <v>44.884623746813403</v>
      </c>
      <c r="D19" s="4">
        <v>43.151384667261354</v>
      </c>
      <c r="E19" s="4">
        <v>41.226496964495894</v>
      </c>
      <c r="F19" s="4">
        <v>40.194059559244764</v>
      </c>
      <c r="G19" s="3">
        <v>36.883202775591563</v>
      </c>
      <c r="H19" s="3">
        <v>34.417326206909543</v>
      </c>
      <c r="I19" s="3">
        <v>30.908645143578816</v>
      </c>
      <c r="J19" s="3">
        <v>27.503033615341462</v>
      </c>
      <c r="K19" s="3">
        <v>25.451907540605273</v>
      </c>
      <c r="L19" s="3">
        <v>23.904023977988253</v>
      </c>
      <c r="M19" s="3">
        <v>22.685176525058193</v>
      </c>
      <c r="N19" s="3">
        <v>21.661830775489108</v>
      </c>
      <c r="O19" s="3">
        <v>20.55682166098703</v>
      </c>
      <c r="P19" s="3">
        <v>19.433165064733064</v>
      </c>
      <c r="Q19" s="3">
        <v>18.41041767767819</v>
      </c>
      <c r="R19" s="3">
        <v>17.512770412306903</v>
      </c>
      <c r="S19" s="3">
        <v>16.429579290166966</v>
      </c>
      <c r="T19" s="3">
        <v>15.457191668254977</v>
      </c>
      <c r="U19" s="3">
        <v>14.410194583706614</v>
      </c>
      <c r="V19" s="3">
        <v>13.523442222415829</v>
      </c>
      <c r="W19" s="3">
        <v>12.692319037477867</v>
      </c>
    </row>
    <row r="20" spans="1:23" x14ac:dyDescent="0.25">
      <c r="A20" t="s">
        <v>2</v>
      </c>
      <c r="B20" t="s">
        <v>2</v>
      </c>
      <c r="C20" s="4">
        <v>44.884623746813403</v>
      </c>
      <c r="D20" s="4">
        <v>46.608349297580972</v>
      </c>
      <c r="E20" s="4">
        <v>47.200798057692936</v>
      </c>
      <c r="F20" s="4">
        <v>48.150803040270453</v>
      </c>
      <c r="G20" s="3">
        <v>48.307923410453974</v>
      </c>
      <c r="H20" s="3">
        <v>48.875319475351766</v>
      </c>
      <c r="I20" s="3">
        <v>48.312056273927986</v>
      </c>
      <c r="J20" s="3">
        <v>45.923401193784322</v>
      </c>
      <c r="K20" s="3">
        <v>43.776208776308692</v>
      </c>
      <c r="L20" s="3">
        <v>41.374212649523464</v>
      </c>
      <c r="M20" s="3">
        <v>38.629732290599229</v>
      </c>
      <c r="N20" s="3">
        <v>36.316180999400061</v>
      </c>
      <c r="O20" s="3">
        <v>34.087196468609207</v>
      </c>
      <c r="P20" s="3">
        <v>32.052436397219587</v>
      </c>
      <c r="Q20" s="3">
        <v>30.229866509665175</v>
      </c>
      <c r="R20" s="3">
        <v>28.664311317863227</v>
      </c>
      <c r="S20" s="3">
        <v>27.026316205059064</v>
      </c>
      <c r="T20" s="3">
        <v>25.586524315307791</v>
      </c>
      <c r="U20" s="3">
        <v>24.172368199579672</v>
      </c>
      <c r="V20" s="3">
        <v>22.907461352967893</v>
      </c>
      <c r="W20" s="3">
        <v>21.692279942686675</v>
      </c>
    </row>
    <row r="21" spans="1:23" x14ac:dyDescent="0.25">
      <c r="B21" t="s">
        <v>3</v>
      </c>
      <c r="C21" s="4">
        <v>44.884623746813403</v>
      </c>
      <c r="D21" s="4">
        <v>48.097118956263081</v>
      </c>
      <c r="E21" s="4">
        <v>55.774752381217198</v>
      </c>
      <c r="F21" s="4">
        <v>54.674559547029268</v>
      </c>
      <c r="G21" s="3">
        <v>50.622733863012336</v>
      </c>
      <c r="H21" s="3">
        <v>47.41798959754621</v>
      </c>
      <c r="I21" s="3">
        <v>42.604377071636449</v>
      </c>
      <c r="J21" s="3">
        <v>36.982218512456356</v>
      </c>
      <c r="K21" s="3">
        <v>32.944581150633695</v>
      </c>
      <c r="L21" s="3">
        <v>29.578084689990785</v>
      </c>
      <c r="M21" s="3">
        <v>26.690279316298636</v>
      </c>
      <c r="N21" s="3">
        <v>24.458768467999946</v>
      </c>
      <c r="O21" s="3">
        <v>22.833258592487624</v>
      </c>
      <c r="P21" s="3">
        <v>21.238940275622788</v>
      </c>
      <c r="Q21" s="3">
        <v>19.80694410196584</v>
      </c>
      <c r="R21" s="3">
        <v>18.569075983169675</v>
      </c>
      <c r="S21" s="3">
        <v>17.209015552899015</v>
      </c>
      <c r="T21" s="3">
        <v>16.026781472497373</v>
      </c>
      <c r="U21" s="3">
        <v>14.81928847141219</v>
      </c>
      <c r="V21" s="3">
        <v>13.815821568253895</v>
      </c>
      <c r="W21" s="3">
        <v>12.898599547657168</v>
      </c>
    </row>
    <row r="23" spans="1:23" x14ac:dyDescent="0.25">
      <c r="A23" s="1" t="s">
        <v>8</v>
      </c>
    </row>
    <row r="25" spans="1:23" x14ac:dyDescent="0.25">
      <c r="A25" s="1" t="s">
        <v>13</v>
      </c>
    </row>
    <row r="26" spans="1:23" x14ac:dyDescent="0.25">
      <c r="A26" s="2" t="s">
        <v>0</v>
      </c>
    </row>
    <row r="27" spans="1:23" x14ac:dyDescent="0.25">
      <c r="A27" t="s">
        <v>1</v>
      </c>
      <c r="B27" t="s">
        <v>1</v>
      </c>
      <c r="C27">
        <v>109.06466686131706</v>
      </c>
      <c r="D27">
        <v>103.46892335626711</v>
      </c>
      <c r="E27">
        <v>99.556231343041077</v>
      </c>
      <c r="F27">
        <v>98.419189068046379</v>
      </c>
      <c r="G27">
        <v>95.297274109956277</v>
      </c>
      <c r="H27">
        <v>93.709309484751884</v>
      </c>
      <c r="I27">
        <v>89.465430983385644</v>
      </c>
      <c r="J27">
        <v>84.955966089426965</v>
      </c>
      <c r="K27">
        <v>83.873856682561168</v>
      </c>
      <c r="L27">
        <v>83.527980386076237</v>
      </c>
      <c r="M27">
        <v>83.653747944448625</v>
      </c>
      <c r="N27">
        <v>83.926460924588525</v>
      </c>
      <c r="O27">
        <v>83.720912670619896</v>
      </c>
      <c r="P27">
        <v>83.282255392269818</v>
      </c>
      <c r="Q27">
        <v>83.068393679152621</v>
      </c>
      <c r="R27">
        <v>83.323780117570749</v>
      </c>
      <c r="S27">
        <v>82.457467465060816</v>
      </c>
      <c r="T27">
        <v>81.631494105841114</v>
      </c>
      <c r="U27">
        <v>80.279580030615577</v>
      </c>
      <c r="V27">
        <v>79.474828970165689</v>
      </c>
      <c r="W27">
        <v>78.543947837119973</v>
      </c>
    </row>
    <row r="28" spans="1:23" x14ac:dyDescent="0.25">
      <c r="A28" t="s">
        <v>2</v>
      </c>
      <c r="B28" t="s">
        <v>2</v>
      </c>
      <c r="C28">
        <v>109.06466686131706</v>
      </c>
      <c r="D28">
        <v>111.75807586291293</v>
      </c>
      <c r="E28">
        <v>113.98333394793931</v>
      </c>
      <c r="F28">
        <v>117.90207409165923</v>
      </c>
      <c r="G28">
        <v>119.4413141729454</v>
      </c>
      <c r="H28">
        <v>122.20741221678746</v>
      </c>
      <c r="I28">
        <v>123.25470151327195</v>
      </c>
      <c r="J28">
        <v>119.5074213299124</v>
      </c>
      <c r="K28">
        <v>116.55603760891778</v>
      </c>
      <c r="L28">
        <v>112.16169960333598</v>
      </c>
      <c r="M28">
        <v>106.06501454704174</v>
      </c>
      <c r="N28">
        <v>101.05640771429873</v>
      </c>
      <c r="O28">
        <v>96.342493583879502</v>
      </c>
      <c r="P28">
        <v>92.241059255510365</v>
      </c>
      <c r="Q28">
        <v>88.724175175077889</v>
      </c>
      <c r="R28">
        <v>86.100255537626481</v>
      </c>
      <c r="S28">
        <v>82.410331316377494</v>
      </c>
      <c r="T28">
        <v>78.886260040675268</v>
      </c>
      <c r="U28">
        <v>75.17819131488136</v>
      </c>
      <c r="V28">
        <v>71.801546408918753</v>
      </c>
      <c r="W28">
        <v>68.18322061154899</v>
      </c>
    </row>
    <row r="29" spans="1:23" x14ac:dyDescent="0.25">
      <c r="B29" t="s">
        <v>3</v>
      </c>
      <c r="C29">
        <v>109.06466686131706</v>
      </c>
      <c r="D29">
        <v>128.6923573762478</v>
      </c>
      <c r="E29">
        <v>166.91981785264224</v>
      </c>
      <c r="F29">
        <v>165.91339146102666</v>
      </c>
      <c r="G29">
        <v>162.09726399880728</v>
      </c>
      <c r="H29">
        <v>160.00257936388161</v>
      </c>
      <c r="I29">
        <v>152.82969516267778</v>
      </c>
      <c r="J29">
        <v>141.57431884671718</v>
      </c>
      <c r="K29">
        <v>134.54529148032174</v>
      </c>
      <c r="L29">
        <v>128.08823765648222</v>
      </c>
      <c r="M29">
        <v>121.97605870830186</v>
      </c>
      <c r="N29">
        <v>117.44014376562019</v>
      </c>
      <c r="O29">
        <v>115.24553762810423</v>
      </c>
      <c r="P29">
        <v>112.8028361961501</v>
      </c>
      <c r="Q29">
        <v>110.75615849818597</v>
      </c>
      <c r="R29">
        <v>109.49206347029103</v>
      </c>
      <c r="S29">
        <v>107.03795760426405</v>
      </c>
      <c r="T29">
        <v>104.89425573139532</v>
      </c>
      <c r="U29">
        <v>102.31535982652136</v>
      </c>
      <c r="V29">
        <v>100.6230101072006</v>
      </c>
      <c r="W29">
        <v>98.92192139014827</v>
      </c>
    </row>
    <row r="31" spans="1:23" x14ac:dyDescent="0.25">
      <c r="A31" s="2" t="s">
        <v>5</v>
      </c>
    </row>
    <row r="32" spans="1:23" x14ac:dyDescent="0.25">
      <c r="A32" t="s">
        <v>1</v>
      </c>
      <c r="B32" t="s">
        <v>1</v>
      </c>
      <c r="C32" s="4">
        <v>109.06466686131706</v>
      </c>
      <c r="D32" s="4">
        <v>103.46892335626711</v>
      </c>
      <c r="E32" s="4">
        <v>99.556231343041063</v>
      </c>
      <c r="F32" s="4">
        <v>98.419189068046393</v>
      </c>
      <c r="G32" s="4">
        <v>95.297274109956263</v>
      </c>
      <c r="H32" s="4">
        <v>93.709309484751898</v>
      </c>
      <c r="I32" s="4">
        <v>89.46543098338563</v>
      </c>
      <c r="J32" s="4">
        <v>84.955966089426951</v>
      </c>
      <c r="K32" s="4">
        <v>83.87385668256114</v>
      </c>
      <c r="L32" s="4">
        <v>83.527980386076237</v>
      </c>
      <c r="M32" s="4">
        <v>83.653747944448625</v>
      </c>
      <c r="N32" s="4">
        <v>83.926460924588511</v>
      </c>
      <c r="O32" s="4">
        <v>83.720912670619882</v>
      </c>
      <c r="P32" s="4">
        <v>83.282255392269818</v>
      </c>
      <c r="Q32" s="4">
        <v>83.068393679152635</v>
      </c>
      <c r="R32" s="4">
        <v>83.323780117570749</v>
      </c>
      <c r="S32" s="4">
        <v>82.457467465060816</v>
      </c>
      <c r="T32" s="4">
        <v>81.631494105841128</v>
      </c>
      <c r="U32" s="4">
        <v>80.279580030615591</v>
      </c>
      <c r="V32" s="4">
        <v>79.474828970165717</v>
      </c>
      <c r="W32" s="4">
        <v>78.543947837119987</v>
      </c>
    </row>
    <row r="33" spans="1:23" x14ac:dyDescent="0.25">
      <c r="A33" t="s">
        <v>2</v>
      </c>
      <c r="B33" t="s">
        <v>2</v>
      </c>
      <c r="C33" s="4">
        <v>109.06466686131706</v>
      </c>
      <c r="D33" s="3">
        <v>116.54257773455528</v>
      </c>
      <c r="E33" s="3">
        <v>123.82245043634499</v>
      </c>
      <c r="F33" s="3">
        <v>133.17184985759465</v>
      </c>
      <c r="G33" s="3">
        <v>140.40212903648396</v>
      </c>
      <c r="H33" s="3">
        <v>148.90410544942395</v>
      </c>
      <c r="I33" s="3">
        <v>155.9483450847664</v>
      </c>
      <c r="J33" s="3">
        <v>158.21754424162924</v>
      </c>
      <c r="K33" s="3">
        <v>160.81356645504388</v>
      </c>
      <c r="L33" s="3">
        <v>161.13424507775824</v>
      </c>
      <c r="M33" s="3">
        <v>158.9250406589255</v>
      </c>
      <c r="N33" s="3">
        <v>157.0118891897493</v>
      </c>
      <c r="O33" s="3">
        <v>154.9063656176202</v>
      </c>
      <c r="P33" s="3">
        <v>153.20460803237458</v>
      </c>
      <c r="Q33" s="3">
        <v>152.05802495995508</v>
      </c>
      <c r="R33" s="3">
        <v>151.89964149162117</v>
      </c>
      <c r="S33" s="3">
        <v>151.16918302039741</v>
      </c>
      <c r="T33" s="3">
        <v>150.79407277297747</v>
      </c>
      <c r="U33" s="3">
        <v>150.60216982664775</v>
      </c>
      <c r="V33" s="3">
        <v>150.90586921322745</v>
      </c>
      <c r="W33" s="3">
        <v>150.89838955925393</v>
      </c>
    </row>
    <row r="34" spans="1:23" x14ac:dyDescent="0.25">
      <c r="B34" t="s">
        <v>3</v>
      </c>
      <c r="C34" s="4">
        <v>109.06466686131706</v>
      </c>
      <c r="D34" s="4">
        <v>128.69235737624786</v>
      </c>
      <c r="E34" s="4">
        <v>166.91981785264224</v>
      </c>
      <c r="F34" s="4">
        <v>165.91339146102681</v>
      </c>
      <c r="G34" s="4">
        <v>162.09726399880745</v>
      </c>
      <c r="H34" s="4">
        <v>160.00257936388175</v>
      </c>
      <c r="I34" s="4">
        <v>152.82969516267795</v>
      </c>
      <c r="J34" s="4">
        <v>141.57431884671738</v>
      </c>
      <c r="K34" s="4">
        <v>134.54529148032196</v>
      </c>
      <c r="L34" s="4">
        <v>128.08823765648242</v>
      </c>
      <c r="M34" s="4">
        <v>121.97605870830202</v>
      </c>
      <c r="N34" s="4">
        <v>117.44014376562023</v>
      </c>
      <c r="O34" s="4">
        <v>115.24553762810434</v>
      </c>
      <c r="P34" s="4">
        <v>112.80283619615012</v>
      </c>
      <c r="Q34" s="4">
        <v>110.75615849818602</v>
      </c>
      <c r="R34" s="4">
        <v>109.4920634702911</v>
      </c>
      <c r="S34" s="4">
        <v>107.03795760426414</v>
      </c>
      <c r="T34" s="4">
        <v>104.89425573139543</v>
      </c>
      <c r="U34" s="4">
        <v>102.31535982652147</v>
      </c>
      <c r="V34" s="4">
        <v>100.62301010720071</v>
      </c>
      <c r="W34" s="4">
        <v>98.921921390148484</v>
      </c>
    </row>
    <row r="36" spans="1:23" x14ac:dyDescent="0.25">
      <c r="A36" s="2" t="s">
        <v>6</v>
      </c>
    </row>
    <row r="37" spans="1:23" x14ac:dyDescent="0.25">
      <c r="A37" t="s">
        <v>1</v>
      </c>
      <c r="B37" t="s">
        <v>1</v>
      </c>
      <c r="C37" s="4">
        <v>109.06466686131706</v>
      </c>
      <c r="D37" s="4">
        <v>103.46892335626711</v>
      </c>
      <c r="E37" s="4">
        <v>99.556231343041077</v>
      </c>
      <c r="F37" s="4">
        <v>98.419189068046379</v>
      </c>
      <c r="G37" s="4">
        <v>95.297274109956248</v>
      </c>
      <c r="H37" s="4">
        <v>93.709309484751898</v>
      </c>
      <c r="I37" s="4">
        <v>89.46543098338563</v>
      </c>
      <c r="J37" s="4">
        <v>84.955966089426965</v>
      </c>
      <c r="K37" s="4">
        <v>83.87385668256114</v>
      </c>
      <c r="L37" s="4">
        <v>83.527980386076223</v>
      </c>
      <c r="M37" s="4">
        <v>83.653747944448611</v>
      </c>
      <c r="N37" s="4">
        <v>83.926460924588525</v>
      </c>
      <c r="O37" s="4">
        <v>83.720912670619882</v>
      </c>
      <c r="P37" s="4">
        <v>83.282255392269818</v>
      </c>
      <c r="Q37" s="4">
        <v>83.068393679152621</v>
      </c>
      <c r="R37" s="4">
        <v>83.323780117570749</v>
      </c>
      <c r="S37" s="4">
        <v>82.45746746506083</v>
      </c>
      <c r="T37" s="4">
        <v>81.631494105841114</v>
      </c>
      <c r="U37" s="4">
        <v>80.279580030615605</v>
      </c>
      <c r="V37" s="4">
        <v>79.474828970165703</v>
      </c>
      <c r="W37" s="4">
        <v>78.543947837120001</v>
      </c>
    </row>
    <row r="38" spans="1:23" x14ac:dyDescent="0.25">
      <c r="A38" t="s">
        <v>2</v>
      </c>
      <c r="B38" t="s">
        <v>2</v>
      </c>
      <c r="C38" s="4">
        <v>109.06466686131706</v>
      </c>
      <c r="D38" s="4">
        <v>111.75807586291293</v>
      </c>
      <c r="E38" s="4">
        <v>113.98333394793931</v>
      </c>
      <c r="F38" s="4">
        <v>117.90207409165923</v>
      </c>
      <c r="G38" s="3">
        <v>124.81598864769327</v>
      </c>
      <c r="H38" s="3">
        <v>133.07461513272278</v>
      </c>
      <c r="I38" s="3">
        <v>139.8398058589276</v>
      </c>
      <c r="J38" s="3">
        <v>141.85587557708595</v>
      </c>
      <c r="K38" s="3">
        <v>144.25950020257986</v>
      </c>
      <c r="L38" s="3">
        <v>144.5741698494393</v>
      </c>
      <c r="M38" s="3">
        <v>142.45081516688907</v>
      </c>
      <c r="N38" s="3">
        <v>140.70318327041838</v>
      </c>
      <c r="O38" s="3">
        <v>138.82550745433034</v>
      </c>
      <c r="P38" s="3">
        <v>137.36306901556148</v>
      </c>
      <c r="Q38" s="3">
        <v>136.39812502123465</v>
      </c>
      <c r="R38" s="3">
        <v>136.38154999124498</v>
      </c>
      <c r="S38" s="3">
        <v>135.64081890477041</v>
      </c>
      <c r="T38" s="3">
        <v>135.1258529790752</v>
      </c>
      <c r="U38" s="3">
        <v>134.66491074324639</v>
      </c>
      <c r="V38" s="3">
        <v>134.62301559214836</v>
      </c>
      <c r="W38" s="3">
        <v>134.2384554986063</v>
      </c>
    </row>
    <row r="39" spans="1:23" x14ac:dyDescent="0.25">
      <c r="B39" t="s">
        <v>3</v>
      </c>
      <c r="C39" s="4">
        <v>109.06466686131706</v>
      </c>
      <c r="D39" s="4">
        <v>128.6923573762478</v>
      </c>
      <c r="E39" s="4">
        <v>166.91981785264224</v>
      </c>
      <c r="F39" s="4">
        <v>165.91339146102666</v>
      </c>
      <c r="G39" s="4">
        <v>162.09726399880725</v>
      </c>
      <c r="H39" s="4">
        <v>160.00257936388158</v>
      </c>
      <c r="I39" s="4">
        <v>152.82969516267781</v>
      </c>
      <c r="J39" s="4">
        <v>141.57431884671709</v>
      </c>
      <c r="K39" s="4">
        <v>134.54529148032174</v>
      </c>
      <c r="L39" s="4">
        <v>128.08823765648222</v>
      </c>
      <c r="M39" s="4">
        <v>121.97605870830179</v>
      </c>
      <c r="N39" s="4">
        <v>117.44014376562011</v>
      </c>
      <c r="O39" s="4">
        <v>115.24553762810423</v>
      </c>
      <c r="P39" s="4">
        <v>112.80283619615008</v>
      </c>
      <c r="Q39" s="4">
        <v>110.75615849818594</v>
      </c>
      <c r="R39" s="4">
        <v>109.49206347029101</v>
      </c>
      <c r="S39" s="4">
        <v>107.03795760426399</v>
      </c>
      <c r="T39" s="4">
        <v>104.89425573139528</v>
      </c>
      <c r="U39" s="4">
        <v>102.31535982652132</v>
      </c>
      <c r="V39" s="4">
        <v>100.62301010720059</v>
      </c>
      <c r="W39" s="4">
        <v>98.921921390148341</v>
      </c>
    </row>
    <row r="41" spans="1:23" x14ac:dyDescent="0.25">
      <c r="A41" s="1" t="s">
        <v>10</v>
      </c>
    </row>
    <row r="43" spans="1:23" x14ac:dyDescent="0.25">
      <c r="A43" s="1" t="s">
        <v>9</v>
      </c>
    </row>
    <row r="44" spans="1:23" x14ac:dyDescent="0.25">
      <c r="A44" s="2" t="s">
        <v>0</v>
      </c>
    </row>
    <row r="45" spans="1:23" x14ac:dyDescent="0.25">
      <c r="A45" t="s">
        <v>1</v>
      </c>
      <c r="B45" t="s">
        <v>1</v>
      </c>
      <c r="C45">
        <v>17.168117428103436</v>
      </c>
      <c r="D45">
        <v>16.507447382610895</v>
      </c>
      <c r="E45">
        <v>15.170490840774168</v>
      </c>
      <c r="F45">
        <v>16.275584555339673</v>
      </c>
      <c r="G45">
        <v>18.560766082285152</v>
      </c>
      <c r="H45">
        <v>15.892193499237058</v>
      </c>
      <c r="I45">
        <v>19.66440549559961</v>
      </c>
      <c r="J45">
        <v>19.460462395418617</v>
      </c>
      <c r="K45">
        <v>16.571874391944313</v>
      </c>
      <c r="L45">
        <v>15.079952334507581</v>
      </c>
      <c r="M45">
        <v>13.319447314092885</v>
      </c>
      <c r="N45">
        <v>14.483570578314115</v>
      </c>
      <c r="O45">
        <v>14.142861916552054</v>
      </c>
      <c r="P45">
        <v>14.115234181755604</v>
      </c>
      <c r="Q45">
        <v>13.420092313833543</v>
      </c>
      <c r="R45">
        <v>13.687222643483288</v>
      </c>
      <c r="S45">
        <v>14.487425032288856</v>
      </c>
      <c r="T45">
        <v>14.427317333136349</v>
      </c>
      <c r="U45">
        <v>14.76199266751172</v>
      </c>
      <c r="V45">
        <v>13.939392848205063</v>
      </c>
      <c r="W45">
        <v>13.488655379547129</v>
      </c>
    </row>
    <row r="46" spans="1:23" x14ac:dyDescent="0.25">
      <c r="A46" t="s">
        <v>2</v>
      </c>
      <c r="B46" t="s">
        <v>2</v>
      </c>
      <c r="C46">
        <v>17.168117428103436</v>
      </c>
      <c r="D46">
        <v>16.45802570570023</v>
      </c>
      <c r="E46">
        <v>15.592800739322154</v>
      </c>
      <c r="F46">
        <v>16.947827914481778</v>
      </c>
      <c r="G46">
        <v>19.412765233948146</v>
      </c>
      <c r="H46">
        <v>17.168733139321887</v>
      </c>
      <c r="I46">
        <v>22.187382027218021</v>
      </c>
      <c r="J46">
        <v>23.245954849145285</v>
      </c>
      <c r="K46">
        <v>21.412150122272511</v>
      </c>
      <c r="L46">
        <v>20.603917155431592</v>
      </c>
      <c r="M46">
        <v>19.313353495081166</v>
      </c>
      <c r="N46">
        <v>19.837572209579871</v>
      </c>
      <c r="O46">
        <v>18.76276077585398</v>
      </c>
      <c r="P46">
        <v>17.878860113427766</v>
      </c>
      <c r="Q46">
        <v>16.418350960626523</v>
      </c>
      <c r="R46">
        <v>15.679928417479596</v>
      </c>
      <c r="S46">
        <v>15.367130366578802</v>
      </c>
      <c r="T46">
        <v>14.688384394904459</v>
      </c>
      <c r="U46">
        <v>14.494006721143441</v>
      </c>
      <c r="V46">
        <v>13.447754682275995</v>
      </c>
      <c r="W46">
        <v>12.816165006129566</v>
      </c>
    </row>
    <row r="47" spans="1:23" x14ac:dyDescent="0.25">
      <c r="B47" t="s">
        <v>3</v>
      </c>
      <c r="C47">
        <v>17.168117428103436</v>
      </c>
      <c r="D47">
        <v>18.553826274411147</v>
      </c>
      <c r="E47">
        <v>20.280918357442935</v>
      </c>
      <c r="F47">
        <v>23.721730216967433</v>
      </c>
      <c r="G47">
        <v>26.621665119099951</v>
      </c>
      <c r="H47">
        <v>23.228640266907057</v>
      </c>
      <c r="I47">
        <v>30.099308999136355</v>
      </c>
      <c r="J47">
        <v>33.760006731439333</v>
      </c>
      <c r="K47">
        <v>29.762209239866266</v>
      </c>
      <c r="L47">
        <v>27.489286794221474</v>
      </c>
      <c r="M47">
        <v>24.839199000972162</v>
      </c>
      <c r="N47">
        <v>24.28394144205328</v>
      </c>
      <c r="O47">
        <v>20.474487549714862</v>
      </c>
      <c r="P47">
        <v>20.233994801002435</v>
      </c>
      <c r="Q47">
        <v>19.078555337288599</v>
      </c>
      <c r="R47">
        <v>19.090132920892124</v>
      </c>
      <c r="S47">
        <v>19.735572164984692</v>
      </c>
      <c r="T47">
        <v>19.28157402096133</v>
      </c>
      <c r="U47">
        <v>19.390529162766992</v>
      </c>
      <c r="V47">
        <v>18.090209094695687</v>
      </c>
      <c r="W47">
        <v>17.315968448030372</v>
      </c>
    </row>
    <row r="49" spans="1:23" x14ac:dyDescent="0.25">
      <c r="A49" s="2" t="s">
        <v>5</v>
      </c>
    </row>
    <row r="50" spans="1:23" x14ac:dyDescent="0.25">
      <c r="A50" t="s">
        <v>1</v>
      </c>
      <c r="B50" t="s">
        <v>1</v>
      </c>
      <c r="C50" s="4">
        <v>17.168117428103436</v>
      </c>
      <c r="D50" s="4">
        <v>16.507447382610895</v>
      </c>
      <c r="E50" s="4">
        <v>15.170490840774168</v>
      </c>
      <c r="F50" s="4">
        <v>16.275584555339673</v>
      </c>
      <c r="G50" s="4">
        <v>18.560766082285152</v>
      </c>
      <c r="H50" s="4">
        <v>15.892193499237058</v>
      </c>
      <c r="I50" s="4">
        <v>19.66440549559961</v>
      </c>
      <c r="J50" s="4">
        <v>19.460462395418617</v>
      </c>
      <c r="K50" s="4">
        <v>16.571874391944313</v>
      </c>
      <c r="L50" s="4">
        <v>15.079952334507581</v>
      </c>
      <c r="M50" s="4">
        <v>13.319447314092885</v>
      </c>
      <c r="N50" s="4">
        <v>14.483570578314115</v>
      </c>
      <c r="O50" s="4">
        <v>14.142861916552054</v>
      </c>
      <c r="P50" s="4">
        <v>14.115234181755604</v>
      </c>
      <c r="Q50" s="4">
        <v>13.420092313833543</v>
      </c>
      <c r="R50" s="4">
        <v>13.687222643483288</v>
      </c>
      <c r="S50" s="4">
        <v>14.487425032288856</v>
      </c>
      <c r="T50" s="4">
        <v>14.427317333136349</v>
      </c>
      <c r="U50" s="4">
        <v>14.76199266751172</v>
      </c>
      <c r="V50" s="4">
        <v>13.939392848205063</v>
      </c>
      <c r="W50" s="4">
        <v>13.488655379547129</v>
      </c>
    </row>
    <row r="51" spans="1:23" x14ac:dyDescent="0.25">
      <c r="A51" t="s">
        <v>2</v>
      </c>
      <c r="B51" t="s">
        <v>2</v>
      </c>
      <c r="C51" s="4">
        <v>17.168117428103436</v>
      </c>
      <c r="D51" s="3">
        <v>17.218034977420615</v>
      </c>
      <c r="E51" s="3">
        <v>17.043226925019805</v>
      </c>
      <c r="F51" s="3">
        <v>19.349173403647374</v>
      </c>
      <c r="G51" s="3">
        <v>23.136469832329883</v>
      </c>
      <c r="H51" s="3">
        <v>21.329001741663348</v>
      </c>
      <c r="I51" s="3">
        <v>28.727353999665805</v>
      </c>
      <c r="J51" s="3">
        <v>31.318896968962051</v>
      </c>
      <c r="K51" s="3">
        <v>29.986259256466791</v>
      </c>
      <c r="L51" s="3">
        <v>29.980010204185398</v>
      </c>
      <c r="M51" s="3">
        <v>29.038265326392388</v>
      </c>
      <c r="N51" s="3">
        <v>31.091230451105496</v>
      </c>
      <c r="O51" s="3">
        <v>30.708174148216528</v>
      </c>
      <c r="P51" s="3">
        <v>30.450831567529885</v>
      </c>
      <c r="Q51" s="3">
        <v>28.946557490472223</v>
      </c>
      <c r="R51" s="3">
        <v>28.788857958980845</v>
      </c>
      <c r="S51" s="3">
        <v>29.17773347722763</v>
      </c>
      <c r="T51" s="3">
        <v>28.69487450716764</v>
      </c>
      <c r="U51" s="3">
        <v>29.335418813296769</v>
      </c>
      <c r="V51" s="3">
        <v>28.045948746840075</v>
      </c>
      <c r="W51" s="3">
        <v>27.551048906521892</v>
      </c>
    </row>
    <row r="52" spans="1:23" x14ac:dyDescent="0.25">
      <c r="B52" t="s">
        <v>3</v>
      </c>
      <c r="C52" s="4">
        <v>17.168117428103436</v>
      </c>
      <c r="D52" s="4">
        <v>18.553826274411147</v>
      </c>
      <c r="E52" s="4">
        <v>20.280918357442935</v>
      </c>
      <c r="F52" s="4">
        <v>23.721730216967444</v>
      </c>
      <c r="G52" s="4">
        <v>26.621665119099962</v>
      </c>
      <c r="H52" s="4">
        <v>23.228640266907068</v>
      </c>
      <c r="I52" s="4">
        <v>30.099308999136376</v>
      </c>
      <c r="J52" s="4">
        <v>33.760006731439354</v>
      </c>
      <c r="K52" s="4">
        <v>29.762209239866301</v>
      </c>
      <c r="L52" s="4">
        <v>27.489286794221517</v>
      </c>
      <c r="M52" s="4">
        <v>24.839199000972194</v>
      </c>
      <c r="N52" s="4">
        <v>24.283941442053319</v>
      </c>
      <c r="O52" s="4">
        <v>20.47448754971489</v>
      </c>
      <c r="P52" s="4">
        <v>20.233994801002464</v>
      </c>
      <c r="Q52" s="4">
        <v>19.078555337288616</v>
      </c>
      <c r="R52" s="4">
        <v>19.090132920892145</v>
      </c>
      <c r="S52" s="4">
        <v>19.735572164984699</v>
      </c>
      <c r="T52" s="4">
        <v>19.281574020961347</v>
      </c>
      <c r="U52" s="4">
        <v>19.390529162767002</v>
      </c>
      <c r="V52" s="4">
        <v>18.090209094695702</v>
      </c>
      <c r="W52" s="4">
        <v>17.315968448030386</v>
      </c>
    </row>
    <row r="54" spans="1:23" x14ac:dyDescent="0.25">
      <c r="A54" s="2" t="s">
        <v>6</v>
      </c>
    </row>
    <row r="55" spans="1:23" x14ac:dyDescent="0.25">
      <c r="A55" t="s">
        <v>1</v>
      </c>
      <c r="B55" t="s">
        <v>1</v>
      </c>
      <c r="C55" s="4">
        <v>17.168117428103436</v>
      </c>
      <c r="D55" s="4">
        <v>16.507447382610895</v>
      </c>
      <c r="E55" s="4">
        <v>15.170490840774168</v>
      </c>
      <c r="F55" s="4">
        <v>16.275584555339673</v>
      </c>
      <c r="G55" s="4">
        <v>18.560766082285152</v>
      </c>
      <c r="H55" s="4">
        <v>15.892193499237058</v>
      </c>
      <c r="I55" s="4">
        <v>19.66440549559961</v>
      </c>
      <c r="J55" s="4">
        <v>19.460462395418617</v>
      </c>
      <c r="K55" s="4">
        <v>16.571874391944313</v>
      </c>
      <c r="L55" s="4">
        <v>15.079952334507581</v>
      </c>
      <c r="M55" s="4">
        <v>13.319447314092885</v>
      </c>
      <c r="N55" s="4">
        <v>14.483570578314115</v>
      </c>
      <c r="O55" s="4">
        <v>14.142861916552054</v>
      </c>
      <c r="P55" s="4">
        <v>14.115234181755604</v>
      </c>
      <c r="Q55" s="4">
        <v>13.420092313833543</v>
      </c>
      <c r="R55" s="4">
        <v>13.687222643483288</v>
      </c>
      <c r="S55" s="4">
        <v>14.487425032288856</v>
      </c>
      <c r="T55" s="4">
        <v>14.427317333136349</v>
      </c>
      <c r="U55" s="4">
        <v>14.76199266751172</v>
      </c>
      <c r="V55" s="4">
        <v>13.939392848205063</v>
      </c>
      <c r="W55" s="4">
        <v>13.488655379547129</v>
      </c>
    </row>
    <row r="56" spans="1:23" x14ac:dyDescent="0.25">
      <c r="A56" t="s">
        <v>2</v>
      </c>
      <c r="B56" t="s">
        <v>2</v>
      </c>
      <c r="C56" s="4">
        <v>17.168117428103436</v>
      </c>
      <c r="D56" s="4">
        <v>16.45802570570023</v>
      </c>
      <c r="E56" s="4">
        <v>15.592800739322154</v>
      </c>
      <c r="F56" s="4">
        <v>16.947827914481778</v>
      </c>
      <c r="G56" s="3">
        <v>20.318636059344666</v>
      </c>
      <c r="H56" s="3">
        <v>18.788440442635615</v>
      </c>
      <c r="I56" s="3">
        <v>25.367988976684373</v>
      </c>
      <c r="J56" s="3">
        <v>27.772107642279277</v>
      </c>
      <c r="K56" s="3">
        <v>26.766735053630686</v>
      </c>
      <c r="L56" s="3">
        <v>26.880246715189056</v>
      </c>
      <c r="M56" s="3">
        <v>26.211257325595732</v>
      </c>
      <c r="N56" s="3">
        <v>28.048267557820406</v>
      </c>
      <c r="O56" s="3">
        <v>27.649569334257201</v>
      </c>
      <c r="P56" s="3">
        <v>27.357239185169746</v>
      </c>
      <c r="Q56" s="3">
        <v>26.024067657381124</v>
      </c>
      <c r="R56" s="3">
        <v>25.818956691737576</v>
      </c>
      <c r="S56" s="3">
        <v>26.158590742951553</v>
      </c>
      <c r="T56" s="3">
        <v>25.789632627180737</v>
      </c>
      <c r="U56" s="3">
        <v>26.356065789917764</v>
      </c>
      <c r="V56" s="3">
        <v>25.223114856714719</v>
      </c>
      <c r="W56" s="3">
        <v>24.791382884765873</v>
      </c>
    </row>
    <row r="57" spans="1:23" x14ac:dyDescent="0.25">
      <c r="B57" t="s">
        <v>3</v>
      </c>
      <c r="C57" s="4">
        <v>17.168117428103436</v>
      </c>
      <c r="D57" s="4">
        <v>18.553826274411147</v>
      </c>
      <c r="E57" s="4">
        <v>20.280918357442935</v>
      </c>
      <c r="F57" s="4">
        <v>23.721730216967433</v>
      </c>
      <c r="G57" s="4">
        <v>26.621665119099951</v>
      </c>
      <c r="H57" s="4">
        <v>23.228640266907057</v>
      </c>
      <c r="I57" s="4">
        <v>30.099308999136355</v>
      </c>
      <c r="J57" s="4">
        <v>33.760006731439333</v>
      </c>
      <c r="K57" s="4">
        <v>29.762209239866266</v>
      </c>
      <c r="L57" s="4">
        <v>27.489286794221474</v>
      </c>
      <c r="M57" s="4">
        <v>24.839199000972162</v>
      </c>
      <c r="N57" s="4">
        <v>24.283941442053276</v>
      </c>
      <c r="O57" s="4">
        <v>20.474487549714848</v>
      </c>
      <c r="P57" s="4">
        <v>20.233994801002432</v>
      </c>
      <c r="Q57" s="4">
        <v>19.078555337288591</v>
      </c>
      <c r="R57" s="4">
        <v>19.09013292089211</v>
      </c>
      <c r="S57" s="4">
        <v>19.735572164984681</v>
      </c>
      <c r="T57" s="4">
        <v>19.281574020961333</v>
      </c>
      <c r="U57" s="4">
        <v>19.390529162766992</v>
      </c>
      <c r="V57" s="4">
        <v>18.090209094695687</v>
      </c>
      <c r="W57" s="4">
        <v>17.315968448030368</v>
      </c>
    </row>
    <row r="59" spans="1:23" x14ac:dyDescent="0.25">
      <c r="A59" s="1" t="s">
        <v>12</v>
      </c>
    </row>
    <row r="61" spans="1:23" x14ac:dyDescent="0.25">
      <c r="A61" s="1" t="s">
        <v>11</v>
      </c>
    </row>
    <row r="62" spans="1:23" x14ac:dyDescent="0.25">
      <c r="A62" s="2" t="s">
        <v>0</v>
      </c>
    </row>
    <row r="63" spans="1:23" x14ac:dyDescent="0.25">
      <c r="A63" t="s">
        <v>1</v>
      </c>
      <c r="B63" t="s">
        <v>1</v>
      </c>
      <c r="C63">
        <v>39.00150259737196</v>
      </c>
      <c r="D63">
        <v>37.868567507013431</v>
      </c>
      <c r="E63">
        <v>33.702208014423533</v>
      </c>
      <c r="F63">
        <v>35.350030838398325</v>
      </c>
      <c r="G63">
        <v>40.208734597151206</v>
      </c>
      <c r="H63">
        <v>34.353655668471873</v>
      </c>
      <c r="I63">
        <v>42.304365280281829</v>
      </c>
      <c r="J63">
        <v>41.535330387876044</v>
      </c>
      <c r="K63">
        <v>35.054434118846771</v>
      </c>
      <c r="L63">
        <v>31.742788009445338</v>
      </c>
      <c r="M63">
        <v>27.982939226947529</v>
      </c>
      <c r="N63">
        <v>30.438981784445332</v>
      </c>
      <c r="O63">
        <v>29.715654734982401</v>
      </c>
      <c r="P63">
        <v>29.609860574483328</v>
      </c>
      <c r="Q63">
        <v>28.075676419400487</v>
      </c>
      <c r="R63">
        <v>28.474330989168799</v>
      </c>
      <c r="S63">
        <v>29.987886106535722</v>
      </c>
      <c r="T63">
        <v>29.772154116577777</v>
      </c>
      <c r="U63">
        <v>30.291586444715083</v>
      </c>
      <c r="V63">
        <v>28.485376554408205</v>
      </c>
      <c r="W63">
        <v>27.466053850470882</v>
      </c>
    </row>
    <row r="64" spans="1:23" x14ac:dyDescent="0.25">
      <c r="A64" t="s">
        <v>2</v>
      </c>
      <c r="B64" t="s">
        <v>2</v>
      </c>
      <c r="C64">
        <v>39.00150259737196</v>
      </c>
      <c r="D64">
        <v>37.755192733493161</v>
      </c>
      <c r="E64">
        <v>34.640396250835792</v>
      </c>
      <c r="F64">
        <v>36.810121159319266</v>
      </c>
      <c r="G64">
        <v>42.0544454699859</v>
      </c>
      <c r="H64">
        <v>37.113111324781023</v>
      </c>
      <c r="I64">
        <v>47.732086998644895</v>
      </c>
      <c r="J64">
        <v>49.614875290332435</v>
      </c>
      <c r="K64">
        <v>45.293054246713652</v>
      </c>
      <c r="L64">
        <v>43.370546532327317</v>
      </c>
      <c r="M64">
        <v>40.575587288038875</v>
      </c>
      <c r="N64">
        <v>41.6910661545799</v>
      </c>
      <c r="O64">
        <v>39.422552831250037</v>
      </c>
      <c r="P64">
        <v>37.50490770273877</v>
      </c>
      <c r="Q64">
        <v>34.348221914654474</v>
      </c>
      <c r="R64">
        <v>32.619873532806309</v>
      </c>
      <c r="S64">
        <v>31.808810343465559</v>
      </c>
      <c r="T64">
        <v>30.310891056942324</v>
      </c>
      <c r="U64">
        <v>29.74167969139112</v>
      </c>
      <c r="V64">
        <v>27.480705946619761</v>
      </c>
      <c r="W64">
        <v>26.096706329129553</v>
      </c>
    </row>
    <row r="65" spans="1:23" x14ac:dyDescent="0.25">
      <c r="B65" t="s">
        <v>3</v>
      </c>
      <c r="C65">
        <v>39.00150259737196</v>
      </c>
      <c r="D65">
        <v>38.142920381085268</v>
      </c>
      <c r="E65">
        <v>36.355330889979712</v>
      </c>
      <c r="F65">
        <v>41.573953557303795</v>
      </c>
      <c r="G65">
        <v>46.535189532774027</v>
      </c>
      <c r="H65">
        <v>40.516755919461332</v>
      </c>
      <c r="I65">
        <v>52.249561564252232</v>
      </c>
      <c r="J65">
        <v>58.141843992683206</v>
      </c>
      <c r="K65">
        <v>50.799361807390909</v>
      </c>
      <c r="L65">
        <v>46.690694621153455</v>
      </c>
      <c r="M65">
        <v>42.108180377398966</v>
      </c>
      <c r="N65">
        <v>41.18086080966534</v>
      </c>
      <c r="O65">
        <v>34.712253282018096</v>
      </c>
      <c r="P65">
        <v>34.249297778689389</v>
      </c>
      <c r="Q65">
        <v>32.206384535474577</v>
      </c>
      <c r="R65">
        <v>32.045637257726526</v>
      </c>
      <c r="S65">
        <v>32.962954856037385</v>
      </c>
      <c r="T65">
        <v>32.106201046920788</v>
      </c>
      <c r="U65">
        <v>32.106166793716554</v>
      </c>
      <c r="V65">
        <v>29.829327100134336</v>
      </c>
      <c r="W65">
        <v>28.450909667190171</v>
      </c>
    </row>
    <row r="67" spans="1:23" x14ac:dyDescent="0.25">
      <c r="A67" s="2" t="s">
        <v>5</v>
      </c>
    </row>
    <row r="68" spans="1:23" x14ac:dyDescent="0.25">
      <c r="A68" t="s">
        <v>1</v>
      </c>
      <c r="B68" t="s">
        <v>1</v>
      </c>
      <c r="C68" s="4">
        <v>39.00150259737196</v>
      </c>
      <c r="D68" s="4">
        <v>37.868567507013431</v>
      </c>
      <c r="E68" s="4">
        <v>33.702208014423533</v>
      </c>
      <c r="F68" s="4">
        <v>35.350030838398325</v>
      </c>
      <c r="G68" s="4">
        <v>40.208734597151206</v>
      </c>
      <c r="H68" s="4">
        <v>34.353655668471873</v>
      </c>
      <c r="I68" s="4">
        <v>42.304365280281829</v>
      </c>
      <c r="J68" s="4">
        <v>41.535330387876044</v>
      </c>
      <c r="K68" s="4">
        <v>35.054434118846771</v>
      </c>
      <c r="L68" s="4">
        <v>31.742788009445338</v>
      </c>
      <c r="M68" s="4">
        <v>27.982939226947529</v>
      </c>
      <c r="N68" s="4">
        <v>30.438981784445332</v>
      </c>
      <c r="O68" s="4">
        <v>29.715654734982401</v>
      </c>
      <c r="P68" s="4">
        <v>29.609860574483328</v>
      </c>
      <c r="Q68" s="4">
        <v>28.075676419400487</v>
      </c>
      <c r="R68" s="4">
        <v>28.474330989168799</v>
      </c>
      <c r="S68" s="4">
        <v>29.987886106535722</v>
      </c>
      <c r="T68" s="4">
        <v>29.772154116577777</v>
      </c>
      <c r="U68" s="4">
        <v>30.291586444715083</v>
      </c>
      <c r="V68" s="4">
        <v>28.485376554408205</v>
      </c>
      <c r="W68" s="4">
        <v>27.466053850470882</v>
      </c>
    </row>
    <row r="69" spans="1:23" x14ac:dyDescent="0.25">
      <c r="A69" t="s">
        <v>2</v>
      </c>
      <c r="B69" t="s">
        <v>2</v>
      </c>
      <c r="C69" s="4">
        <v>39.00150259737196</v>
      </c>
      <c r="D69" s="3">
        <v>39.498676250055347</v>
      </c>
      <c r="E69" s="3">
        <v>37.862610056111365</v>
      </c>
      <c r="F69" s="3">
        <v>42.025764063389495</v>
      </c>
      <c r="G69" s="3">
        <v>50.121216488528319</v>
      </c>
      <c r="H69" s="3">
        <v>46.106233328993625</v>
      </c>
      <c r="I69" s="3">
        <v>61.801638366833856</v>
      </c>
      <c r="J69" s="3">
        <v>66.84531469796589</v>
      </c>
      <c r="K69" s="3">
        <v>63.429840506602289</v>
      </c>
      <c r="L69" s="3">
        <v>63.1069042741467</v>
      </c>
      <c r="M69" s="3">
        <v>61.006736595193004</v>
      </c>
      <c r="N69" s="3">
        <v>65.341995072278053</v>
      </c>
      <c r="O69" s="3">
        <v>64.521134825063754</v>
      </c>
      <c r="P69" s="3">
        <v>63.877429554590073</v>
      </c>
      <c r="Q69" s="3">
        <v>60.558017229161642</v>
      </c>
      <c r="R69" s="3">
        <v>59.891147508620399</v>
      </c>
      <c r="S69" s="3">
        <v>60.395725700864553</v>
      </c>
      <c r="T69" s="3">
        <v>59.214627810334285</v>
      </c>
      <c r="U69" s="3">
        <v>60.19623467437242</v>
      </c>
      <c r="V69" s="3">
        <v>57.312353527811247</v>
      </c>
      <c r="W69" s="3">
        <v>56.10037261763695</v>
      </c>
    </row>
    <row r="70" spans="1:23" x14ac:dyDescent="0.25">
      <c r="B70" t="s">
        <v>3</v>
      </c>
      <c r="C70" s="4">
        <v>39.00150259737196</v>
      </c>
      <c r="D70" s="4">
        <v>38.142920381085268</v>
      </c>
      <c r="E70" s="4">
        <v>36.330179778090645</v>
      </c>
      <c r="F70" s="4">
        <v>41.545192131345281</v>
      </c>
      <c r="G70" s="4">
        <v>46.502995856356677</v>
      </c>
      <c r="H70" s="4">
        <v>40.488725877193374</v>
      </c>
      <c r="I70" s="4">
        <v>52.213414607619278</v>
      </c>
      <c r="J70" s="4">
        <v>58.101620675004661</v>
      </c>
      <c r="K70" s="4">
        <v>50.764218118654391</v>
      </c>
      <c r="L70" s="4">
        <v>46.658393364203064</v>
      </c>
      <c r="M70" s="4">
        <v>42.079049366067473</v>
      </c>
      <c r="N70" s="4">
        <v>41.152371330610791</v>
      </c>
      <c r="O70" s="4">
        <v>34.688238873543604</v>
      </c>
      <c r="P70" s="4">
        <v>34.225603649122554</v>
      </c>
      <c r="Q70" s="4">
        <v>32.184103721047506</v>
      </c>
      <c r="R70" s="4">
        <v>32.023467650450378</v>
      </c>
      <c r="S70" s="4">
        <v>32.940150635982604</v>
      </c>
      <c r="T70" s="4">
        <v>32.083989540792352</v>
      </c>
      <c r="U70" s="4">
        <v>32.083955311284925</v>
      </c>
      <c r="V70" s="4">
        <v>29.808690766339378</v>
      </c>
      <c r="W70" s="4">
        <v>28.431226941304626</v>
      </c>
    </row>
    <row r="72" spans="1:23" x14ac:dyDescent="0.25">
      <c r="A72" s="2" t="s">
        <v>6</v>
      </c>
    </row>
    <row r="73" spans="1:23" x14ac:dyDescent="0.25">
      <c r="A73" t="s">
        <v>1</v>
      </c>
      <c r="B73" t="s">
        <v>1</v>
      </c>
      <c r="C73" s="4">
        <v>39.00150259737196</v>
      </c>
      <c r="D73" s="4">
        <v>37.868567507013431</v>
      </c>
      <c r="E73" s="4">
        <v>33.702208014423533</v>
      </c>
      <c r="F73" s="4">
        <v>35.350030838398325</v>
      </c>
      <c r="G73" s="4">
        <v>40.208734597151206</v>
      </c>
      <c r="H73" s="4">
        <v>34.353655668471873</v>
      </c>
      <c r="I73" s="4">
        <v>42.304365280281829</v>
      </c>
      <c r="J73" s="4">
        <v>41.535330387876044</v>
      </c>
      <c r="K73" s="4">
        <v>35.054434118846771</v>
      </c>
      <c r="L73" s="4">
        <v>31.742788009445338</v>
      </c>
      <c r="M73" s="4">
        <v>27.982939226947529</v>
      </c>
      <c r="N73" s="4">
        <v>30.438981784445332</v>
      </c>
      <c r="O73" s="4">
        <v>29.715654734982401</v>
      </c>
      <c r="P73" s="4">
        <v>29.609860574483328</v>
      </c>
      <c r="Q73" s="4">
        <v>28.075676419400487</v>
      </c>
      <c r="R73" s="4">
        <v>28.474330989168799</v>
      </c>
      <c r="S73" s="4">
        <v>29.987886106535722</v>
      </c>
      <c r="T73" s="4">
        <v>29.772154116577777</v>
      </c>
      <c r="U73" s="4">
        <v>30.291586444715083</v>
      </c>
      <c r="V73" s="4">
        <v>28.485376554408205</v>
      </c>
      <c r="W73" s="4">
        <v>27.466053850470882</v>
      </c>
    </row>
    <row r="74" spans="1:23" x14ac:dyDescent="0.25">
      <c r="A74" t="s">
        <v>2</v>
      </c>
      <c r="B74" t="s">
        <v>2</v>
      </c>
      <c r="C74" s="4">
        <v>39.00150259737196</v>
      </c>
      <c r="D74" s="4">
        <v>37.755192733493161</v>
      </c>
      <c r="E74" s="4">
        <v>34.640396250835792</v>
      </c>
      <c r="F74" s="4">
        <v>36.810121159319266</v>
      </c>
      <c r="G74" s="3">
        <v>44.016860137365136</v>
      </c>
      <c r="H74" s="3">
        <v>40.614381743142111</v>
      </c>
      <c r="I74" s="3">
        <v>54.574580062233167</v>
      </c>
      <c r="J74" s="3">
        <v>59.275244495798276</v>
      </c>
      <c r="K74" s="3">
        <v>56.619591020448055</v>
      </c>
      <c r="L74" s="3">
        <v>56.582007303121742</v>
      </c>
      <c r="M74" s="3">
        <v>55.067451637273969</v>
      </c>
      <c r="N74" s="3">
        <v>58.946839155536601</v>
      </c>
      <c r="O74" s="3">
        <v>58.094681313840589</v>
      </c>
      <c r="P74" s="3">
        <v>57.387927649310697</v>
      </c>
      <c r="Q74" s="3">
        <v>54.443984853372797</v>
      </c>
      <c r="R74" s="3">
        <v>53.712687941521907</v>
      </c>
      <c r="S74" s="3">
        <v>54.146326083399074</v>
      </c>
      <c r="T74" s="3">
        <v>53.219382332628925</v>
      </c>
      <c r="U74" s="3">
        <v>54.082606813302569</v>
      </c>
      <c r="V74" s="3">
        <v>51.543846449605191</v>
      </c>
      <c r="W74" s="3">
        <v>50.481047827280392</v>
      </c>
    </row>
    <row r="75" spans="1:23" x14ac:dyDescent="0.25">
      <c r="B75" t="s">
        <v>3</v>
      </c>
      <c r="C75" s="4">
        <v>39.00150259737196</v>
      </c>
      <c r="D75" s="4">
        <v>38.142920381085268</v>
      </c>
      <c r="E75" s="4">
        <v>36.355330889979712</v>
      </c>
      <c r="F75" s="4">
        <v>41.573953557303795</v>
      </c>
      <c r="G75" s="4">
        <v>46.535189532774027</v>
      </c>
      <c r="H75" s="4">
        <v>40.516755919461339</v>
      </c>
      <c r="I75" s="4">
        <v>52.249561564252232</v>
      </c>
      <c r="J75" s="4">
        <v>58.141843992683206</v>
      </c>
      <c r="K75" s="4">
        <v>50.799361807390916</v>
      </c>
      <c r="L75" s="4">
        <v>46.690694621153462</v>
      </c>
      <c r="M75" s="4">
        <v>42.108180377398988</v>
      </c>
      <c r="N75" s="4">
        <v>41.18086080966534</v>
      </c>
      <c r="O75" s="4">
        <v>34.712253282018082</v>
      </c>
      <c r="P75" s="4">
        <v>34.249297778689403</v>
      </c>
      <c r="Q75" s="4">
        <v>32.206384535474562</v>
      </c>
      <c r="R75" s="4">
        <v>32.045637257726526</v>
      </c>
      <c r="S75" s="4">
        <v>32.962954856037378</v>
      </c>
      <c r="T75" s="4">
        <v>32.106201046920809</v>
      </c>
      <c r="U75" s="4">
        <v>32.106166793716554</v>
      </c>
      <c r="V75" s="4">
        <v>29.829327100134346</v>
      </c>
      <c r="W75" s="4">
        <v>28.450909667190178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Smith</dc:creator>
  <cp:lastModifiedBy>Christopher Smith</cp:lastModifiedBy>
  <dcterms:created xsi:type="dcterms:W3CDTF">2026-04-02T14:18:46Z</dcterms:created>
  <dcterms:modified xsi:type="dcterms:W3CDTF">2026-04-02T20:34:26Z</dcterms:modified>
</cp:coreProperties>
</file>